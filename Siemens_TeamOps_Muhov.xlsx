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onstructor\Desktop\"/>
    </mc:Choice>
  </mc:AlternateContent>
  <xr:revisionPtr revIDLastSave="0" documentId="13_ncr:1_{D2D725D7-C241-42F4-A8A1-590834D721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 Woche" sheetId="1" r:id="rId1"/>
    <sheet name="Pro Monat" sheetId="4" r:id="rId2"/>
  </sheets>
  <calcPr calcId="191029"/>
</workbook>
</file>

<file path=xl/calcChain.xml><?xml version="1.0" encoding="utf-8"?>
<calcChain xmlns="http://schemas.openxmlformats.org/spreadsheetml/2006/main">
  <c r="D3" i="1" l="1" a="1"/>
  <c r="D3" i="1" s="1"/>
  <c r="C3" i="1"/>
  <c r="C4" i="1"/>
  <c r="C5" i="1"/>
  <c r="C6" i="1"/>
  <c r="C7" i="1"/>
  <c r="C8" i="1"/>
  <c r="D14" i="1" a="1"/>
  <c r="D14" i="1" s="1"/>
  <c r="E3" i="1"/>
  <c r="C14" i="1" a="1"/>
  <c r="C14" i="1" s="1"/>
</calcChain>
</file>

<file path=xl/sharedStrings.xml><?xml version="1.0" encoding="utf-8"?>
<sst xmlns="http://schemas.openxmlformats.org/spreadsheetml/2006/main" count="32" uniqueCount="15">
  <si>
    <t>Team</t>
  </si>
  <si>
    <t>Fehler</t>
  </si>
  <si>
    <t>Team 5</t>
  </si>
  <si>
    <t>Team 6</t>
  </si>
  <si>
    <t>HBG</t>
  </si>
  <si>
    <t>NSG</t>
  </si>
  <si>
    <t>E-Bremse</t>
  </si>
  <si>
    <t>RWS</t>
  </si>
  <si>
    <t>Schrank</t>
  </si>
  <si>
    <t>Top</t>
  </si>
  <si>
    <t>Flop</t>
  </si>
  <si>
    <t>Ergebnis</t>
  </si>
  <si>
    <t>Vierwochen- (Benötigt Datenbank)</t>
  </si>
  <si>
    <t>Ergebnis(Inverted)</t>
  </si>
  <si>
    <t>Schränke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</si>
</sst>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 b="1" i="0" u="none" strike="noStrike" baseline="0"/>
              <a:t>Übertrifft die Zielvorgaben </a:t>
            </a:r>
          </a:p>
          <a:p>
            <a:pPr>
              <a:defRPr/>
            </a:pPr>
            <a:r>
              <a:rPr lang="de-DE" sz="1800" b="1" i="0" u="none" strike="noStrike" baseline="0"/>
              <a:t>(Schränke voran)</a:t>
            </a:r>
            <a:endParaRPr lang="de-DE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 Woche'!$A$12:$B$12</c:f>
              <c:strCache>
                <c:ptCount val="1"/>
                <c:pt idx="0">
                  <c:v>Schränke</c:v>
                </c:pt>
              </c:strCache>
            </c:strRef>
          </c:tx>
          <c:spPr>
            <a:solidFill>
              <a:srgbClr val="95B3D7"/>
            </a:solidFill>
            <a:ln>
              <a:noFill/>
            </a:ln>
            <a:effectLst/>
            <a:sp3d/>
          </c:spPr>
          <c:invertIfNegative val="1"/>
          <c:cat>
            <c:strRef>
              <c:f>'Pro Woche'!$A$14:$A$19</c:f>
              <c:strCache>
                <c:ptCount val="6"/>
                <c:pt idx="0">
                  <c:v>HBG</c:v>
                </c:pt>
                <c:pt idx="1">
                  <c:v>NSG</c:v>
                </c:pt>
                <c:pt idx="2">
                  <c:v>E-Bremse</c:v>
                </c:pt>
                <c:pt idx="3">
                  <c:v>RWS</c:v>
                </c:pt>
                <c:pt idx="4">
                  <c:v>Team 5</c:v>
                </c:pt>
                <c:pt idx="5">
                  <c:v>Team 6</c:v>
                </c:pt>
              </c:strCache>
            </c:strRef>
          </c:cat>
          <c:val>
            <c:numRef>
              <c:f>'Pro Woche'!$B$14:$B$19</c:f>
              <c:numCache>
                <c:formatCode>General</c:formatCode>
                <c:ptCount val="6"/>
                <c:pt idx="0">
                  <c:v>-2</c:v>
                </c:pt>
                <c:pt idx="1">
                  <c:v>-5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D99694"/>
                  </a:solidFill>
                  <a:ln>
                    <a:noFill/>
                  </a:ln>
                  <a:effectLst/>
                  <a:sp3d/>
                </c14:spPr>
              </c14:invertSolidFillFmt>
            </c:ext>
            <c:ext xmlns:c16="http://schemas.microsoft.com/office/drawing/2014/chart" uri="{C3380CC4-5D6E-409C-BE32-E72D297353CC}">
              <c16:uniqueId val="{00000000-D1F5-4C7D-8AC0-EFD4BD2D1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3309392"/>
        <c:axId val="973303152"/>
        <c:axId val="0"/>
      </c:bar3DChart>
      <c:catAx>
        <c:axId val="97330939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Tabelle3[Top]</c:f>
              <c:strCache>
                <c:ptCount val="1"/>
                <c:pt idx="0">
                  <c:v>RWS</c:v>
                </c:pt>
              </c:strCache>
            </c:strRef>
          </c:tx>
          <c:layout>
            <c:manualLayout>
              <c:xMode val="edge"/>
              <c:yMode val="edge"/>
              <c:x val="0.51379669427018937"/>
              <c:y val="0.888172865126608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de-DE" sz="12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crossAx val="973303152"/>
        <c:crossesAt val="0"/>
        <c:auto val="1"/>
        <c:lblAlgn val="ctr"/>
        <c:lblOffset val="100"/>
        <c:noMultiLvlLbl val="0"/>
      </c:catAx>
      <c:valAx>
        <c:axId val="97330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3309392"/>
        <c:crossesAt val="1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 b="1" i="0" u="none" strike="noStrike" baseline="0"/>
              <a:t>Meiste Fehler (Unbestes Team)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 Woche'!$B$2</c:f>
              <c:strCache>
                <c:ptCount val="1"/>
                <c:pt idx="0">
                  <c:v>Fehler</c:v>
                </c:pt>
              </c:strCache>
            </c:strRef>
          </c:tx>
          <c:spPr>
            <a:gradFill>
              <a:gsLst>
                <a:gs pos="0">
                  <a:schemeClr val="bg1">
                    <a:lumMod val="95000"/>
                  </a:schemeClr>
                </a:gs>
                <a:gs pos="83000">
                  <a:srgbClr val="A6A6A6"/>
                </a:gs>
                <a:gs pos="65000">
                  <a:schemeClr val="bg1">
                    <a:lumMod val="6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lin ang="5400000" scaled="1"/>
            </a:gradFill>
            <a:ln>
              <a:noFill/>
            </a:ln>
            <a:effectLst/>
            <a:sp3d/>
          </c:spPr>
          <c:invertIfNegative val="0"/>
          <c:cat>
            <c:strRef>
              <c:f>'Pro Woche'!$A$3:$A$8</c:f>
              <c:strCache>
                <c:ptCount val="6"/>
                <c:pt idx="0">
                  <c:v>HBG</c:v>
                </c:pt>
                <c:pt idx="1">
                  <c:v>NSG</c:v>
                </c:pt>
                <c:pt idx="2">
                  <c:v>E-Bremse</c:v>
                </c:pt>
                <c:pt idx="3">
                  <c:v>RWS</c:v>
                </c:pt>
                <c:pt idx="4">
                  <c:v>Team 5</c:v>
                </c:pt>
                <c:pt idx="5">
                  <c:v>Team 6</c:v>
                </c:pt>
              </c:strCache>
            </c:strRef>
          </c:cat>
          <c:val>
            <c:numRef>
              <c:f>'Pro Woche'!$B$3:$B$8</c:f>
              <c:numCache>
                <c:formatCode>General</c:formatCode>
                <c:ptCount val="6"/>
                <c:pt idx="0">
                  <c:v>30</c:v>
                </c:pt>
                <c:pt idx="1">
                  <c:v>20</c:v>
                </c:pt>
                <c:pt idx="2">
                  <c:v>0</c:v>
                </c:pt>
                <c:pt idx="3">
                  <c:v>1</c:v>
                </c:pt>
                <c:pt idx="4">
                  <c:v>10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9-4F7D-8FD6-3713B4016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3309392"/>
        <c:axId val="973303152"/>
        <c:axId val="0"/>
      </c:bar3DChart>
      <c:catAx>
        <c:axId val="97330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3303152"/>
        <c:crosses val="autoZero"/>
        <c:auto val="1"/>
        <c:lblAlgn val="ctr"/>
        <c:lblOffset val="100"/>
        <c:noMultiLvlLbl val="0"/>
      </c:catAx>
      <c:valAx>
        <c:axId val="97330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3309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 b="1" i="0" u="none" strike="noStrike" baseline="0"/>
              <a:t>Top Score (Bestes Team)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 Woche'!$C$2</c:f>
              <c:strCache>
                <c:ptCount val="1"/>
                <c:pt idx="0">
                  <c:v>Ergebnis(Inverted)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20000"/>
                    <a:lumOff val="80000"/>
                  </a:schemeClr>
                </a:gs>
                <a:gs pos="65000">
                  <a:schemeClr val="accent3">
                    <a:lumMod val="60000"/>
                    <a:lumOff val="40000"/>
                  </a:schemeClr>
                </a:gs>
                <a:gs pos="100000">
                  <a:schemeClr val="accent3">
                    <a:lumMod val="75000"/>
                  </a:schemeClr>
                </a:gs>
              </a:gsLst>
              <a:lin ang="5400000" scaled="1"/>
            </a:gradFill>
            <a:ln>
              <a:noFill/>
            </a:ln>
            <a:effectLst/>
            <a:sp3d/>
          </c:spPr>
          <c:invertIfNegative val="0"/>
          <c:cat>
            <c:strRef>
              <c:f>'Pro Woche'!$A$3:$A$8</c:f>
              <c:strCache>
                <c:ptCount val="6"/>
                <c:pt idx="0">
                  <c:v>HBG</c:v>
                </c:pt>
                <c:pt idx="1">
                  <c:v>NSG</c:v>
                </c:pt>
                <c:pt idx="2">
                  <c:v>E-Bremse</c:v>
                </c:pt>
                <c:pt idx="3">
                  <c:v>RWS</c:v>
                </c:pt>
                <c:pt idx="4">
                  <c:v>Team 5</c:v>
                </c:pt>
                <c:pt idx="5">
                  <c:v>Team 6</c:v>
                </c:pt>
              </c:strCache>
            </c:strRef>
          </c:cat>
          <c:val>
            <c:numRef>
              <c:f>'Pro Woche'!$C$3:$C$8</c:f>
              <c:numCache>
                <c:formatCode>General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49</c:v>
                </c:pt>
                <c:pt idx="4">
                  <c:v>40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1-43C8-B72C-FCFEABF06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3309392"/>
        <c:axId val="973303152"/>
        <c:axId val="0"/>
      </c:bar3DChart>
      <c:catAx>
        <c:axId val="97330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Tabelle46[Top]</c:f>
              <c:strCache>
                <c:ptCount val="1"/>
                <c:pt idx="0">
                  <c:v>E-Bremse</c:v>
                </c:pt>
              </c:strCache>
            </c:strRef>
          </c:tx>
          <c:layout>
            <c:manualLayout>
              <c:xMode val="edge"/>
              <c:yMode val="edge"/>
              <c:x val="0.47720363079615036"/>
              <c:y val="0.880623724117818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3303152"/>
        <c:crosses val="autoZero"/>
        <c:auto val="1"/>
        <c:lblAlgn val="ctr"/>
        <c:lblOffset val="100"/>
        <c:noMultiLvlLbl val="0"/>
      </c:catAx>
      <c:valAx>
        <c:axId val="97330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3309392"/>
        <c:crosses val="autoZero"/>
        <c:crossBetween val="between"/>
      </c:valAx>
      <c:spPr>
        <a:noFill/>
        <a:ln>
          <a:noFill/>
        </a:ln>
        <a:effectLst>
          <a:glow>
            <a:schemeClr val="accent1">
              <a:alpha val="41000"/>
            </a:schemeClr>
          </a:glow>
          <a:softEdge rad="0"/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 b="1" i="0" u="none" strike="noStrike" baseline="0"/>
              <a:t>Vierwochen-Übersicht(Benötigt DB)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>
              <a:gsLst>
                <a:gs pos="100000">
                  <a:schemeClr val="accent4">
                    <a:lumMod val="20000"/>
                    <a:lumOff val="80000"/>
                  </a:schemeClr>
                </a:gs>
                <a:gs pos="0">
                  <a:schemeClr val="accent4">
                    <a:lumMod val="75000"/>
                  </a:schemeClr>
                </a:gs>
                <a:gs pos="49000">
                  <a:schemeClr val="accent4">
                    <a:lumMod val="60000"/>
                    <a:lumOff val="40000"/>
                  </a:schemeClr>
                </a:gs>
              </a:gsLst>
              <a:lin ang="5400000" scaled="1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 Woche'!$A$14:$A$19</c:f>
              <c:strCache>
                <c:ptCount val="6"/>
                <c:pt idx="0">
                  <c:v>HBG</c:v>
                </c:pt>
                <c:pt idx="1">
                  <c:v>NSG</c:v>
                </c:pt>
                <c:pt idx="2">
                  <c:v>E-Bremse</c:v>
                </c:pt>
                <c:pt idx="3">
                  <c:v>RWS</c:v>
                </c:pt>
                <c:pt idx="4">
                  <c:v>Team 5</c:v>
                </c:pt>
                <c:pt idx="5">
                  <c:v>Team 6</c:v>
                </c:pt>
              </c:strCache>
            </c:strRef>
          </c:cat>
          <c:val>
            <c:numRef>
              <c:f>'Pro Monat'!$B$3:$B$8</c:f>
              <c:numCache>
                <c:formatCode>General</c:formatCode>
                <c:ptCount val="6"/>
                <c:pt idx="0">
                  <c:v>22</c:v>
                </c:pt>
                <c:pt idx="1">
                  <c:v>12</c:v>
                </c:pt>
                <c:pt idx="2">
                  <c:v>4</c:v>
                </c:pt>
                <c:pt idx="3">
                  <c:v>2</c:v>
                </c:pt>
                <c:pt idx="4">
                  <c:v>11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08-4B45-9387-7594D0EA3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3309392"/>
        <c:axId val="973303152"/>
        <c:axId val="0"/>
      </c:bar3DChart>
      <c:catAx>
        <c:axId val="9733093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3303152"/>
        <c:crosses val="autoZero"/>
        <c:auto val="1"/>
        <c:lblAlgn val="ctr"/>
        <c:lblOffset val="100"/>
        <c:noMultiLvlLbl val="0"/>
      </c:catAx>
      <c:valAx>
        <c:axId val="97330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3309392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438148</xdr:colOff>
      <xdr:row>15</xdr:row>
      <xdr:rowOff>157162</xdr:rowOff>
    </xdr:from>
    <xdr:to>
      <xdr:col>13</xdr:col>
      <xdr:colOff>133349</xdr:colOff>
      <xdr:row>32</xdr:row>
      <xdr:rowOff>104776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EB06D86C-CC8F-0FD0-7E6A-21D31429B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438150</xdr:colOff>
      <xdr:row>1</xdr:row>
      <xdr:rowOff>85725</xdr:rowOff>
    </xdr:from>
    <xdr:to>
      <xdr:col>13</xdr:col>
      <xdr:colOff>133350</xdr:colOff>
      <xdr:row>15</xdr:row>
      <xdr:rowOff>161925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CA1F5D99-ACF3-4250-9C2E-6DDAB75EE8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133350</xdr:colOff>
      <xdr:row>1</xdr:row>
      <xdr:rowOff>85725</xdr:rowOff>
    </xdr:from>
    <xdr:to>
      <xdr:col>20</xdr:col>
      <xdr:colOff>438150</xdr:colOff>
      <xdr:row>15</xdr:row>
      <xdr:rowOff>161925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7C50DEA5-3F23-4AF6-B430-84DF29DC1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0.32569</cdr:x>
      <cdr:y>0.88291</cdr:y>
    </cdr:from>
    <cdr:to>
      <cdr:x>0.52569</cdr:x>
      <cdr:y>0.95665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2F7CABFC-1549-931A-2413-7F69075CAFBD}"/>
            </a:ext>
          </a:extLst>
        </cdr:cNvPr>
        <cdr:cNvSpPr txBox="1"/>
      </cdr:nvSpPr>
      <cdr:spPr>
        <a:xfrm xmlns:a="http://schemas.openxmlformats.org/drawingml/2006/main">
          <a:off x="1489075" y="2813050"/>
          <a:ext cx="914400" cy="234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 kern="1200">
              <a:solidFill>
                <a:schemeClr val="bg1">
                  <a:lumMod val="50000"/>
                </a:schemeClr>
              </a:solidFill>
            </a:rPr>
            <a:t>Bestes Team: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0.29028</cdr:x>
      <cdr:y>0.87269</cdr:y>
    </cdr:from>
    <cdr:to>
      <cdr:x>0.49028</cdr:x>
      <cdr:y>0.95833</cdr:y>
    </cdr:to>
    <cdr:sp macro="" textlink="">
      <cdr:nvSpPr>
        <cdr:cNvPr id="3" name="Textfeld 1">
          <a:extLst xmlns:a="http://schemas.openxmlformats.org/drawingml/2006/main">
            <a:ext uri="{FF2B5EF4-FFF2-40B4-BE49-F238E27FC236}">
              <a16:creationId xmlns:a16="http://schemas.microsoft.com/office/drawing/2014/main" id="{E8F1298E-F2C9-69A5-C6A6-93BB1FC8D38D}"/>
            </a:ext>
          </a:extLst>
        </cdr:cNvPr>
        <cdr:cNvSpPr txBox="1"/>
      </cdr:nvSpPr>
      <cdr:spPr>
        <a:xfrm xmlns:a="http://schemas.openxmlformats.org/drawingml/2006/main">
          <a:off x="1327150" y="2393951"/>
          <a:ext cx="914400" cy="234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 kern="1200">
              <a:solidFill>
                <a:schemeClr val="bg1">
                  <a:lumMod val="50000"/>
                </a:schemeClr>
              </a:solidFill>
            </a:rPr>
            <a:t>Bestes Team: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6</xdr:row>
      <xdr:rowOff>0</xdr:rowOff>
    </xdr:from>
    <xdr:to>
      <xdr:col>12</xdr:col>
      <xdr:colOff>390525</xdr:colOff>
      <xdr:row>20</xdr:row>
      <xdr:rowOff>76200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C593E15-A798-4436-8656-E775F72FC7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E4E5FA-368A-45FF-932B-9245FD335F22}" name="Tabelle1" displayName="Tabelle1" ref="A2:B8" totalsRowShown="0">
  <autoFilter ref="A2:B8" xr:uid="{A8E4E5FA-368A-45FF-932B-9245FD335F22}"/>
  <tableColumns count="2">
    <tableColumn id="1" xr3:uid="{81DD883E-3905-4B61-BAF3-B5E2BB27BD68}" name="Team"/>
    <tableColumn id="2" xr3:uid="{46F7C145-CE39-483F-8B48-1D837ECD6B45}" name="Fehl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14F7F9-06CF-49E4-BEFB-CA8BDCCDC0B0}" name="Tabelle2" displayName="Tabelle2" ref="A13:B19" totalsRowShown="0">
  <autoFilter ref="A13:B19" xr:uid="{BF14F7F9-06CF-49E4-BEFB-CA8BDCCDC0B0}"/>
  <tableColumns count="2">
    <tableColumn id="1" xr3:uid="{8A460C05-0118-4E5A-9843-857FFD31F70E}" name="Team" dataDxfId="4"/>
    <tableColumn id="2" xr3:uid="{F0853794-BB31-45D6-83EE-23F838494E25}" name="Schrank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BB99CB-2BCB-46D5-AA7E-CB638F7CC713}" name="Tabelle3" displayName="Tabelle3" ref="C13:D14" totalsRowShown="0">
  <autoFilter ref="C13:D14" xr:uid="{2CBB99CB-2BCB-46D5-AA7E-CB638F7CC713}"/>
  <tableColumns count="2">
    <tableColumn id="1" xr3:uid="{E2103E53-ACF5-4C05-8388-D3C9FF3D3A9C}" name="Top">
      <calculatedColumnFormula array="1">IFERROR(
  INDEX($A$14:$A$20,
    SMALL(
      IF($B$14:$B$20=MAX($B$14:$B$20),
        ROW($A$14:$A$20)-13
      ),
      ROW(A1)
    )
  ),
"")</calculatedColumnFormula>
    </tableColumn>
    <tableColumn id="2" xr3:uid="{932A927B-0E82-4A32-9B3B-966ABFAB4609}" name="Flop">
      <calculatedColumnFormula array="1">IFERROR(
  INDEX($A$14:$A$20,
    SMALL(
      IF($B$14:$B$20=MIN($B$14:$B$20),
        ROW($A$14:$A$20)-13
      ),
      ROW(A1)
    )
  ),
"")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A86A23-5620-4C21-A3EA-21052065DC8D}" name="Tabelle46" displayName="Tabelle46" ref="D2:E3" totalsRowShown="0">
  <autoFilter ref="D2:E3" xr:uid="{86A86A23-5620-4C21-A3EA-21052065DC8D}"/>
  <tableColumns count="2">
    <tableColumn id="1" xr3:uid="{B8EC3C79-4483-4F7C-9DDD-DEAEBB7CDB11}" name="Top">
      <calculatedColumnFormula array="1">IFERROR(
    INDEX($A$3:$A$7,
        SMALL(
            IF($B$3:$B$7=MIN($B$3:$B$7),
                ROW($A$3:$A$7)-2
            ),
        ROW(A1)
        )
    ),
"")</calculatedColumnFormula>
    </tableColumn>
    <tableColumn id="2" xr3:uid="{9EB06163-1B7B-49FC-BE14-5148674F673B}" name="Flop">
      <calculatedColumnFormula>INDEX($A$3:$A$7, MATCH(MAX($B$3:$B$7), $B$3:$B$7, 0))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927B27-02B6-4499-B9A6-D2C3F2B75C0E}" name="Tabelle6" displayName="Tabelle6" ref="C2:C8" totalsRowShown="0">
  <autoFilter ref="C2:C8" xr:uid="{57927B27-02B6-4499-B9A6-D2C3F2B75C0E}"/>
  <tableColumns count="1">
    <tableColumn id="1" xr3:uid="{69CB7525-5AB3-4F85-8B61-6EF3C252A47C}" name="Ergebnis(Inverted)" dataDxfId="2">
      <calculatedColumnFormula>MAX($B$3:$B$8)-B3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835BD0-4697-4413-B44E-7DE3F0501C2C}" name="Tabelle28" displayName="Tabelle28" ref="A2:B8" totalsRowShown="0">
  <autoFilter ref="A2:B8" xr:uid="{31835BD0-4697-4413-B44E-7DE3F0501C2C}"/>
  <tableColumns count="2">
    <tableColumn id="1" xr3:uid="{6D7193FA-0231-4BA5-835B-7FCDB028478A}" name="Team" dataDxfId="1"/>
    <tableColumn id="2" xr3:uid="{6690AE92-AF94-445E-8779-60DB733A2EA3}" name="Ergebni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13" sqref="A13"/>
    </sheetView>
  </sheetViews>
  <sheetFormatPr baseColWidth="10" defaultColWidth="9.140625" defaultRowHeight="15" x14ac:dyDescent="0.25"/>
  <cols>
    <col min="1" max="1" width="9.42578125" bestFit="1" customWidth="1"/>
    <col min="2" max="2" width="10" customWidth="1"/>
    <col min="3" max="3" width="10.85546875" bestFit="1" customWidth="1"/>
    <col min="4" max="4" width="10.140625" customWidth="1"/>
  </cols>
  <sheetData>
    <row r="1" spans="1:5" x14ac:dyDescent="0.25">
      <c r="A1" s="7" t="s">
        <v>1</v>
      </c>
      <c r="B1" s="7"/>
    </row>
    <row r="2" spans="1:5" x14ac:dyDescent="0.25">
      <c r="A2" t="s">
        <v>0</v>
      </c>
      <c r="B2" t="s">
        <v>1</v>
      </c>
      <c r="C2" t="s">
        <v>13</v>
      </c>
      <c r="D2" t="s">
        <v>9</v>
      </c>
      <c r="E2" t="s">
        <v>10</v>
      </c>
    </row>
    <row r="3" spans="1:5" x14ac:dyDescent="0.25">
      <c r="A3" t="s">
        <v>4</v>
      </c>
      <c r="B3">
        <v>30</v>
      </c>
      <c r="C3">
        <f t="shared" ref="C3:C8" si="0">MAX($B$3:$B$8)-B3</f>
        <v>20</v>
      </c>
      <c r="D3" t="str">
        <f t="array" ref="D3">IFERROR(
    INDEX($A$3:$A$7,
        SMALL(
            IF($B$3:$B$7=MIN($B$3:$B$7),
                ROW($A$3:$A$7)-2
            ),
        ROW(A1)
        )
    ),
"")</f>
        <v>E-Bremse</v>
      </c>
      <c r="E3" t="str">
        <f>INDEX($A$3:$A$7, MATCH(MAX($B$3:$B$7), $B$3:$B$7, 0))</f>
        <v>HBG</v>
      </c>
    </row>
    <row r="4" spans="1:5" x14ac:dyDescent="0.25">
      <c r="A4" t="s">
        <v>5</v>
      </c>
      <c r="B4">
        <v>20</v>
      </c>
      <c r="C4">
        <f t="shared" si="0"/>
        <v>30</v>
      </c>
    </row>
    <row r="5" spans="1:5" x14ac:dyDescent="0.25">
      <c r="A5" t="s">
        <v>6</v>
      </c>
      <c r="B5">
        <v>0</v>
      </c>
      <c r="C5">
        <f t="shared" si="0"/>
        <v>50</v>
      </c>
    </row>
    <row r="6" spans="1:5" x14ac:dyDescent="0.25">
      <c r="A6" t="s">
        <v>7</v>
      </c>
      <c r="B6">
        <v>1</v>
      </c>
      <c r="C6">
        <f t="shared" si="0"/>
        <v>49</v>
      </c>
    </row>
    <row r="7" spans="1:5" x14ac:dyDescent="0.25">
      <c r="A7" t="s">
        <v>2</v>
      </c>
      <c r="B7">
        <v>10</v>
      </c>
      <c r="C7">
        <f t="shared" si="0"/>
        <v>40</v>
      </c>
    </row>
    <row r="8" spans="1:5" x14ac:dyDescent="0.25">
      <c r="A8" t="s">
        <v>3</v>
      </c>
      <c r="B8">
        <v>50</v>
      </c>
      <c r="C8">
        <f t="shared" si="0"/>
        <v>0</v>
      </c>
    </row>
    <row r="12" spans="1:5" x14ac:dyDescent="0.25">
      <c r="A12" s="7" t="s">
        <v>14</v>
      </c>
      <c r="B12" s="8"/>
    </row>
    <row r="13" spans="1:5" x14ac:dyDescent="0.25">
      <c r="A13" t="s">
        <v>0</v>
      </c>
      <c r="B13" t="s">
        <v>8</v>
      </c>
      <c r="C13" t="s">
        <v>9</v>
      </c>
      <c r="D13" t="s">
        <v>10</v>
      </c>
    </row>
    <row r="14" spans="1:5" x14ac:dyDescent="0.25">
      <c r="A14" s="1" t="s">
        <v>4</v>
      </c>
      <c r="B14" s="2">
        <v>-2</v>
      </c>
      <c r="C14" t="str">
        <f t="array" ref="C14">IFERROR(
  INDEX($A$14:$A$20,
    SMALL(
      IF($B$14:$B$20=MAX($B$14:$B$20),
        ROW($A$14:$A$20)-13
      ),
      ROW(A1)
    )
  ),
"")</f>
        <v>RWS</v>
      </c>
      <c r="D14" t="str">
        <f t="array" ref="D14">IFERROR(
  INDEX($A$14:$A$20,
    SMALL(
      IF($B$14:$B$20=MIN($B$14:$B$20),
        ROW($A$14:$A$20)-13
      ),
      ROW(A1)
    )
  ),
"")</f>
        <v>NSG</v>
      </c>
    </row>
    <row r="15" spans="1:5" x14ac:dyDescent="0.25">
      <c r="A15" s="3" t="s">
        <v>5</v>
      </c>
      <c r="B15" s="4">
        <v>-5</v>
      </c>
    </row>
    <row r="16" spans="1:5" x14ac:dyDescent="0.25">
      <c r="A16" s="1" t="s">
        <v>6</v>
      </c>
      <c r="B16" s="2">
        <v>2</v>
      </c>
    </row>
    <row r="17" spans="1:2" x14ac:dyDescent="0.25">
      <c r="A17" s="3" t="s">
        <v>7</v>
      </c>
      <c r="B17" s="4">
        <v>4</v>
      </c>
    </row>
    <row r="18" spans="1:2" x14ac:dyDescent="0.25">
      <c r="A18" s="1" t="s">
        <v>2</v>
      </c>
      <c r="B18" s="2">
        <v>3</v>
      </c>
    </row>
    <row r="19" spans="1:2" x14ac:dyDescent="0.25">
      <c r="A19" s="5" t="s">
        <v>3</v>
      </c>
      <c r="B19" s="6">
        <v>2</v>
      </c>
    </row>
  </sheetData>
  <mergeCells count="2">
    <mergeCell ref="A1:B1"/>
    <mergeCell ref="A12:B12"/>
  </mergeCells>
  <pageMargins left="0.75" right="0.75" top="1" bottom="1" header="0.5" footer="0.5"/>
  <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5ADD7-7968-4503-A4FD-446A5B70C0F1}">
  <dimension ref="A1:D8"/>
  <sheetViews>
    <sheetView workbookViewId="0">
      <selection activeCell="D31" sqref="D31"/>
    </sheetView>
  </sheetViews>
  <sheetFormatPr baseColWidth="10" defaultRowHeight="15" x14ac:dyDescent="0.25"/>
  <sheetData>
    <row r="1" spans="1:4" x14ac:dyDescent="0.25">
      <c r="A1" s="7" t="s">
        <v>12</v>
      </c>
      <c r="B1" s="7"/>
      <c r="C1" s="7"/>
      <c r="D1" s="7"/>
    </row>
    <row r="2" spans="1:4" x14ac:dyDescent="0.25">
      <c r="A2" t="s">
        <v>0</v>
      </c>
      <c r="B2" t="s">
        <v>11</v>
      </c>
    </row>
    <row r="3" spans="1:4" x14ac:dyDescent="0.25">
      <c r="A3" s="1" t="s">
        <v>4</v>
      </c>
      <c r="B3" s="2">
        <v>22</v>
      </c>
    </row>
    <row r="4" spans="1:4" x14ac:dyDescent="0.25">
      <c r="A4" s="3" t="s">
        <v>5</v>
      </c>
      <c r="B4" s="4">
        <v>12</v>
      </c>
    </row>
    <row r="5" spans="1:4" x14ac:dyDescent="0.25">
      <c r="A5" s="1" t="s">
        <v>6</v>
      </c>
      <c r="B5" s="2">
        <v>4</v>
      </c>
    </row>
    <row r="6" spans="1:4" x14ac:dyDescent="0.25">
      <c r="A6" s="3" t="s">
        <v>7</v>
      </c>
      <c r="B6" s="4">
        <v>2</v>
      </c>
    </row>
    <row r="7" spans="1:4" x14ac:dyDescent="0.25">
      <c r="A7" s="1" t="s">
        <v>2</v>
      </c>
      <c r="B7" s="2">
        <v>11</v>
      </c>
    </row>
    <row r="8" spans="1:4" x14ac:dyDescent="0.25">
      <c r="A8" s="5" t="s">
        <v>3</v>
      </c>
      <c r="B8" s="6">
        <v>10</v>
      </c>
    </row>
  </sheetData>
  <mergeCells count="1">
    <mergeCell ref="A1:D1"/>
  </mergeCells>
  <pageMargins left="0.7" right="0.7" top="0.78740157499999996" bottom="0.78740157499999996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 Woche</vt:lpstr>
      <vt:lpstr>Pro Monat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 Glabrion</cp:lastModifiedBy>
  <dcterms:created xsi:type="dcterms:W3CDTF">2025-11-13T14:13:12Z</dcterms:created>
  <dcterms:modified xsi:type="dcterms:W3CDTF">2025-11-14T10:44:58Z</dcterms:modified>
</cp:coreProperties>
</file>